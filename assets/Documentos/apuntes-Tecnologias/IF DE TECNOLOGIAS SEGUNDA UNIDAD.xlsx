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POPS\"/>
    </mc:Choice>
  </mc:AlternateContent>
  <xr:revisionPtr revIDLastSave="0" documentId="8_{1A802E0E-4098-4105-B56E-51954F791F58}" xr6:coauthVersionLast="47" xr6:coauthVersionMax="47" xr10:uidLastSave="{00000000-0000-0000-0000-000000000000}"/>
  <bookViews>
    <workbookView xWindow="-120" yWindow="-120" windowWidth="29040" windowHeight="15840" firstSheet="1" activeTab="1" xr2:uid="{AA0500FA-B265-4725-A114-28407F69BF56}"/>
  </bookViews>
  <sheets>
    <sheet name="BM" sheetId="1" r:id="rId1"/>
    <sheet name="Energí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2" l="1"/>
  <c r="G13" i="2"/>
  <c r="I13" i="2"/>
  <c r="I14" i="2"/>
  <c r="I15" i="2"/>
  <c r="I16" i="2"/>
  <c r="I17" i="2"/>
  <c r="I12" i="2"/>
  <c r="H13" i="2"/>
  <c r="H14" i="2"/>
  <c r="H15" i="2"/>
  <c r="H16" i="2"/>
  <c r="H17" i="2"/>
  <c r="H12" i="2"/>
  <c r="G14" i="2"/>
  <c r="G15" i="2"/>
  <c r="G16" i="2" s="1"/>
  <c r="G17" i="2" s="1"/>
  <c r="G12" i="2"/>
  <c r="F13" i="2"/>
  <c r="C13" i="2"/>
  <c r="C12" i="2"/>
  <c r="C14" i="2" s="1"/>
  <c r="F14" i="2" s="1"/>
  <c r="D16" i="2"/>
  <c r="D15" i="2"/>
  <c r="D17" i="2"/>
  <c r="F17" i="2" s="1"/>
  <c r="C16" i="2"/>
  <c r="F16" i="2" s="1"/>
  <c r="C15" i="2"/>
  <c r="F15" i="2" s="1"/>
  <c r="D14" i="2"/>
  <c r="C17" i="2"/>
  <c r="H8" i="2"/>
  <c r="H5" i="2"/>
  <c r="H7" i="2"/>
  <c r="H6" i="2"/>
  <c r="I17" i="1"/>
  <c r="E17" i="1"/>
  <c r="I10" i="1"/>
  <c r="E10" i="1"/>
</calcChain>
</file>

<file path=xl/sharedStrings.xml><?xml version="1.0" encoding="utf-8"?>
<sst xmlns="http://schemas.openxmlformats.org/spreadsheetml/2006/main" count="104" uniqueCount="75">
  <si>
    <t>Inventario de Corrientes (BM)</t>
  </si>
  <si>
    <t>Entradas – Extracción y Clarificación</t>
  </si>
  <si>
    <t>Entradas – Evaporación</t>
  </si>
  <si>
    <t>Flujo</t>
  </si>
  <si>
    <t>Tipo de flujo</t>
  </si>
  <si>
    <t>Categoría sugerida</t>
  </si>
  <si>
    <t>Cantidad (kg/h)</t>
  </si>
  <si>
    <t>Caña de azúcar</t>
  </si>
  <si>
    <t>Product flow</t>
  </si>
  <si>
    <t>Agricultural production → biomass</t>
  </si>
  <si>
    <t>Jugo clarificado</t>
  </si>
  <si>
    <t>Agricultural production → food/agro</t>
  </si>
  <si>
    <t>Agua de imbibición</t>
  </si>
  <si>
    <t>Elementary flow</t>
  </si>
  <si>
    <t>Water supply → production</t>
  </si>
  <si>
    <t>Cal (aditivo)</t>
  </si>
  <si>
    <t>Agricultural production → mineral fertiliser</t>
  </si>
  <si>
    <t>TOTAL</t>
  </si>
  <si>
    <t>Salidas – Extracción y Clarificación</t>
  </si>
  <si>
    <t>Salidas – Evaporación</t>
  </si>
  <si>
    <t>Jugo concentrado</t>
  </si>
  <si>
    <t>Bagazo</t>
  </si>
  <si>
    <t>Biomass → production</t>
  </si>
  <si>
    <t>Agua evaporada</t>
  </si>
  <si>
    <t>Emissions to air (vapor)</t>
  </si>
  <si>
    <t>Agua/pérdidas</t>
  </si>
  <si>
    <t>Emissions to water</t>
  </si>
  <si>
    <t>Tabla de Corrientes Térmicas</t>
  </si>
  <si>
    <t>Corriente</t>
  </si>
  <si>
    <t>Tipo</t>
  </si>
  <si>
    <t>T. de entrada (°C)</t>
  </si>
  <si>
    <t>T. de salida (°C)</t>
  </si>
  <si>
    <t>Caudal (kg/h)</t>
  </si>
  <si>
    <t>Cp (kJ/kg·K)</t>
  </si>
  <si>
    <t>ΔH (kW)</t>
  </si>
  <si>
    <t>Interpretación</t>
  </si>
  <si>
    <t>Agua de alimentación</t>
  </si>
  <si>
    <t>Fría</t>
  </si>
  <si>
    <t>demanda de energía externa o calor que debe ser suministrado</t>
  </si>
  <si>
    <t>Requiere calentamiento</t>
  </si>
  <si>
    <t>Mayor demanda térmica del sistema</t>
  </si>
  <si>
    <t>Caliente</t>
  </si>
  <si>
    <t>potencial de energía disponible para ser recuperada</t>
  </si>
  <si>
    <t>Fuente principal de recuperación</t>
  </si>
  <si>
    <t>Vapor de calentamiento</t>
  </si>
  <si>
    <t>Servicio externo (no se usa en Pinch ideal)</t>
  </si>
  <si>
    <t>Intervalo de T (°C)</t>
  </si>
  <si>
    <t>Corrientes frías activas (CPeq, kJ/K·h)</t>
  </si>
  <si>
    <t>Corrientes calientes activas (CPeq, kJ/K·h)</t>
  </si>
  <si>
    <t>ΔT intervalo (°C)</t>
  </si>
  <si>
    <t>Balance neto (kJ/h)</t>
  </si>
  <si>
    <t>Cascada acumulada (kJ/h)</t>
  </si>
  <si>
    <t xml:space="preserve"> Balance neto kW=kJ/h3600</t>
  </si>
  <si>
    <t>Cascada acumulada kW=kJ/h3600</t>
  </si>
  <si>
    <t>25 – 30</t>
  </si>
  <si>
    <t>30 – 70</t>
  </si>
  <si>
    <t>70 – 100</t>
  </si>
  <si>
    <t>100 – 105</t>
  </si>
  <si>
    <t>105 – 115</t>
  </si>
  <si>
    <t>115 – 120</t>
  </si>
  <si>
    <t>Corrientes frías y calientes activas</t>
  </si>
  <si>
    <t>Balance neto</t>
  </si>
  <si>
    <t>Resultados</t>
  </si>
  <si>
    <t>Requerimiento mínimo de calefacción externa (QHmin, vapor):</t>
  </si>
  <si>
    <t>QHmin=0 kW</t>
  </si>
  <si>
    <t>No necesitas vapor adicional porque la cascada acumulada nunca fue negativa.</t>
  </si>
  <si>
    <t>El proceso puede operar sin vapor externo si se integra térmicamente.</t>
  </si>
  <si>
    <t>Requerimiento mínimo de enfriamiento externo (QCmin, agua):</t>
  </si>
  <si>
    <t>QCmin=6316.7 kW</t>
  </si>
  <si>
    <t>Este es el calor que debe ser rechazado al ambiente mediante agua de enfriamiento.</t>
  </si>
  <si>
    <t>Existe exceso de energía que debe eliminarse.</t>
  </si>
  <si>
    <t>Temperatura de Pinch:</t>
  </si>
  <si>
    <t>TPinch≈115 ∘C</t>
  </si>
  <si>
    <t>Es el intervalo donde aparece el balance negativo y marca el límite de recuperación de calor.</t>
  </si>
  <si>
    <t>Límite termodinámico de recuperación de calor.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</si>
</sst>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4" borderId="1" xfId="0" applyNumberFormat="1" applyFill="1" applyBorder="1"/>
    <xf numFmtId="3" fontId="0" fillId="5" borderId="1" xfId="0" applyNumberFormat="1" applyFill="1" applyBorder="1"/>
    <xf numFmtId="0" fontId="2" fillId="9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 indent="2"/>
    </xf>
    <xf numFmtId="1" fontId="0" fillId="6" borderId="1" xfId="0" applyNumberFormat="1" applyFill="1" applyBorder="1" applyAlignment="1">
      <alignment horizontal="left" vertical="center" indent="2"/>
    </xf>
    <xf numFmtId="1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11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272491</xdr:colOff>
      <xdr:row>18</xdr:row>
      <xdr:rowOff>112502</xdr:rowOff>
    </xdr:from>
    <xdr:ext cx="2196563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3442C32-7C18-4AD3-7BA9-11D380D1F9BB}"/>
                </a:ext>
              </a:extLst>
            </xdr:cNvPr>
            <xdr:cNvSpPr txBox="1"/>
          </xdr:nvSpPr>
          <xdr:spPr>
            <a:xfrm>
              <a:off x="5499625" y="5520843"/>
              <a:ext cx="2196563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(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PE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𝐶𝑃</m:t>
                            </m:r>
                          </m:e>
                          <m:sub>
                            <m:sSub>
                              <m:sSub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𝑒𝑞</m:t>
                                </m:r>
                              </m:e>
                              <m:sub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𝑓𝑟𝑖𝑎𝑠</m:t>
                                </m:r>
                              </m:sub>
                            </m:sSub>
                          </m:sub>
                        </m:sSub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𝐶𝑃</m:t>
                                </m:r>
                              </m:e>
                              <m:sub>
                                <m:sSub>
                                  <m:sSub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𝑒𝑞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𝑐𝑎𝑙𝑖𝑒𝑛𝑡𝑒𝑠</m:t>
                                    </m:r>
                                  </m:sub>
                                </m:sSub>
                              </m:sub>
                            </m:sSub>
                          </m:e>
                        </m:nary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)∗∆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nary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3442C32-7C18-4AD3-7BA9-11D380D1F9BB}"/>
                </a:ext>
              </a:extLst>
            </xdr:cNvPr>
            <xdr:cNvSpPr txBox="1"/>
          </xdr:nvSpPr>
          <xdr:spPr>
            <a:xfrm>
              <a:off x="5499625" y="5520843"/>
              <a:ext cx="2196563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(</a:t>
              </a:r>
              <a:r>
                <a:rPr lang="es-PE" sz="1100" i="0">
                  <a:latin typeface="Cambria Math" panose="02040503050406030204" pitchFamily="18" charset="0"/>
                </a:rPr>
                <a:t>∑▒〖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〖𝐶𝑃〗_(〖𝑒𝑞〗_𝑓𝑟𝑖𝑎𝑠 )−∑▒〖𝐶𝑃〗_(〖𝑒𝑞〗_𝑐𝑎𝑙𝑖𝑒𝑛𝑡𝑒𝑠 ) )∗∆𝑇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3</xdr:col>
      <xdr:colOff>287441</xdr:colOff>
      <xdr:row>19</xdr:row>
      <xdr:rowOff>14462</xdr:rowOff>
    </xdr:from>
    <xdr:ext cx="896271" cy="1844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BB514C9D-73C7-181E-B297-E53D4508BEC9}"/>
                </a:ext>
                <a:ext uri="{147F2762-F138-4A5C-976F-8EAC2B608ADB}">
                  <a16:predDERef xmlns:a16="http://schemas.microsoft.com/office/drawing/2014/main" pred="{53442C32-7C18-4AD3-7BA9-11D380D1F9BB}"/>
                </a:ext>
              </a:extLst>
            </xdr:cNvPr>
            <xdr:cNvSpPr txBox="1"/>
          </xdr:nvSpPr>
          <xdr:spPr>
            <a:xfrm>
              <a:off x="2466575" y="5613303"/>
              <a:ext cx="896271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ar-AE" sz="110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﷐</a:t>
              </a:r>
              <a:r>
                <a:rPr lang="ar-AE" sz="11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𝐶𝑃﷮𝑒𝑞﷯=𝑚∗𝐶𝑃</a:t>
              </a: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B514C9D-73C7-181E-B297-E53D4508BEC9}"/>
                </a:ext>
              </a:extLst>
            </xdr:cNvPr>
            <xdr:cNvSpPr txBox="1"/>
          </xdr:nvSpPr>
          <xdr:spPr>
            <a:xfrm>
              <a:off x="2466575" y="5613303"/>
              <a:ext cx="896271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𝐶𝑃</a:t>
              </a:r>
              <a:r>
                <a:rPr lang="es-PE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𝑒𝑞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=𝑚∗𝐶𝑃</a:t>
              </a:r>
              <a:endParaRPr lang="es-PE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228B-6E27-4CED-BC74-B6D4AFDB30CD}">
  <dimension ref="B2:I17"/>
  <sheetViews>
    <sheetView topLeftCell="B9" workbookViewId="0">
      <selection activeCell="L23" sqref="L23"/>
    </sheetView>
  </sheetViews>
  <sheetFormatPr baseColWidth="10" defaultColWidth="11.42578125" defaultRowHeight="15" x14ac:dyDescent="0.25"/>
  <cols>
    <col min="8" max="8" width="16.140625" customWidth="1"/>
    <col min="9" max="9" width="14.28515625" customWidth="1"/>
  </cols>
  <sheetData>
    <row r="2" spans="2:9" x14ac:dyDescent="0.25">
      <c r="B2" s="38" t="s">
        <v>0</v>
      </c>
      <c r="C2" s="38"/>
      <c r="D2" s="38"/>
      <c r="E2" s="38"/>
      <c r="F2" s="38"/>
      <c r="G2" s="38"/>
      <c r="H2" s="38"/>
      <c r="I2" s="38"/>
    </row>
    <row r="3" spans="2:9" x14ac:dyDescent="0.25">
      <c r="B3" s="38"/>
      <c r="C3" s="38"/>
      <c r="D3" s="38"/>
      <c r="E3" s="38"/>
      <c r="F3" s="38"/>
      <c r="G3" s="38"/>
      <c r="H3" s="38"/>
      <c r="I3" s="38"/>
    </row>
    <row r="4" spans="2:9" x14ac:dyDescent="0.25">
      <c r="B4" s="37" t="s">
        <v>1</v>
      </c>
      <c r="C4" s="37"/>
      <c r="D4" s="37"/>
      <c r="E4" s="37"/>
      <c r="F4" s="37" t="s">
        <v>2</v>
      </c>
      <c r="G4" s="37"/>
      <c r="H4" s="37"/>
      <c r="I4" s="37"/>
    </row>
    <row r="5" spans="2:9" x14ac:dyDescent="0.25">
      <c r="B5" s="37"/>
      <c r="C5" s="37"/>
      <c r="D5" s="37"/>
      <c r="E5" s="37"/>
      <c r="F5" s="37"/>
      <c r="G5" s="37"/>
      <c r="H5" s="37"/>
      <c r="I5" s="37"/>
    </row>
    <row r="6" spans="2:9" ht="30" x14ac:dyDescent="0.25">
      <c r="B6" s="2" t="s">
        <v>3</v>
      </c>
      <c r="C6" s="2" t="s">
        <v>4</v>
      </c>
      <c r="D6" s="2" t="s">
        <v>5</v>
      </c>
      <c r="E6" s="2" t="s">
        <v>6</v>
      </c>
      <c r="F6" s="2" t="s">
        <v>3</v>
      </c>
      <c r="G6" s="2" t="s">
        <v>4</v>
      </c>
      <c r="H6" s="2" t="s">
        <v>5</v>
      </c>
      <c r="I6" s="2" t="s">
        <v>6</v>
      </c>
    </row>
    <row r="7" spans="2:9" ht="45" x14ac:dyDescent="0.25">
      <c r="B7" s="4" t="s">
        <v>7</v>
      </c>
      <c r="C7" s="4" t="s">
        <v>8</v>
      </c>
      <c r="D7" s="4" t="s">
        <v>9</v>
      </c>
      <c r="E7" s="5">
        <v>100000</v>
      </c>
      <c r="F7" s="4" t="s">
        <v>10</v>
      </c>
      <c r="G7" s="4" t="s">
        <v>8</v>
      </c>
      <c r="H7" s="4" t="s">
        <v>11</v>
      </c>
      <c r="I7" s="5">
        <v>80000</v>
      </c>
    </row>
    <row r="8" spans="2:9" ht="45" x14ac:dyDescent="0.25">
      <c r="B8" s="4" t="s">
        <v>12</v>
      </c>
      <c r="C8" s="4" t="s">
        <v>13</v>
      </c>
      <c r="D8" s="4" t="s">
        <v>14</v>
      </c>
      <c r="E8" s="5">
        <v>20000</v>
      </c>
      <c r="F8" s="35"/>
      <c r="G8" s="35"/>
      <c r="H8" s="35"/>
      <c r="I8" s="35"/>
    </row>
    <row r="9" spans="2:9" ht="60" x14ac:dyDescent="0.25">
      <c r="B9" s="4" t="s">
        <v>15</v>
      </c>
      <c r="C9" s="4" t="s">
        <v>8</v>
      </c>
      <c r="D9" s="4" t="s">
        <v>16</v>
      </c>
      <c r="E9" s="4">
        <v>500</v>
      </c>
      <c r="F9" s="35"/>
      <c r="G9" s="35"/>
      <c r="H9" s="35"/>
      <c r="I9" s="35"/>
    </row>
    <row r="10" spans="2:9" x14ac:dyDescent="0.25">
      <c r="B10" s="3" t="s">
        <v>17</v>
      </c>
      <c r="C10" s="3"/>
      <c r="D10" s="3"/>
      <c r="E10" s="6">
        <f>SUM(E7:E9)</f>
        <v>120500</v>
      </c>
      <c r="F10" s="3" t="s">
        <v>17</v>
      </c>
      <c r="G10" s="3"/>
      <c r="H10" s="3"/>
      <c r="I10" s="7">
        <f>SUM(I7)</f>
        <v>80000</v>
      </c>
    </row>
    <row r="11" spans="2:9" x14ac:dyDescent="0.25">
      <c r="B11" s="36" t="s">
        <v>18</v>
      </c>
      <c r="C11" s="36"/>
      <c r="D11" s="36"/>
      <c r="E11" s="36"/>
      <c r="F11" s="36" t="s">
        <v>19</v>
      </c>
      <c r="G11" s="36"/>
      <c r="H11" s="36"/>
      <c r="I11" s="36"/>
    </row>
    <row r="12" spans="2:9" x14ac:dyDescent="0.25">
      <c r="B12" s="36"/>
      <c r="C12" s="36"/>
      <c r="D12" s="36"/>
      <c r="E12" s="36"/>
      <c r="F12" s="36"/>
      <c r="G12" s="36"/>
      <c r="H12" s="36"/>
      <c r="I12" s="36"/>
    </row>
    <row r="13" spans="2:9" ht="30" x14ac:dyDescent="0.25">
      <c r="B13" s="2" t="s">
        <v>3</v>
      </c>
      <c r="C13" s="2" t="s">
        <v>4</v>
      </c>
      <c r="D13" s="2" t="s">
        <v>5</v>
      </c>
      <c r="E13" s="2" t="s">
        <v>6</v>
      </c>
      <c r="F13" s="2" t="s">
        <v>3</v>
      </c>
      <c r="G13" s="2" t="s">
        <v>4</v>
      </c>
      <c r="H13" s="2" t="s">
        <v>5</v>
      </c>
      <c r="I13" s="2" t="s">
        <v>6</v>
      </c>
    </row>
    <row r="14" spans="2:9" ht="45" x14ac:dyDescent="0.25">
      <c r="B14" s="4" t="s">
        <v>10</v>
      </c>
      <c r="C14" s="4" t="s">
        <v>8</v>
      </c>
      <c r="D14" s="4" t="s">
        <v>11</v>
      </c>
      <c r="E14" s="5">
        <v>80000</v>
      </c>
      <c r="F14" s="4" t="s">
        <v>20</v>
      </c>
      <c r="G14" s="4" t="s">
        <v>8</v>
      </c>
      <c r="H14" s="4" t="s">
        <v>11</v>
      </c>
      <c r="I14" s="5">
        <v>40000</v>
      </c>
    </row>
    <row r="15" spans="2:9" ht="30" x14ac:dyDescent="0.25">
      <c r="B15" s="4" t="s">
        <v>21</v>
      </c>
      <c r="C15" s="4" t="s">
        <v>8</v>
      </c>
      <c r="D15" s="4" t="s">
        <v>22</v>
      </c>
      <c r="E15" s="5">
        <v>40000</v>
      </c>
      <c r="F15" s="4" t="s">
        <v>23</v>
      </c>
      <c r="G15" s="4" t="s">
        <v>13</v>
      </c>
      <c r="H15" s="1" t="s">
        <v>24</v>
      </c>
      <c r="I15" s="5">
        <v>40000</v>
      </c>
    </row>
    <row r="16" spans="2:9" ht="30" x14ac:dyDescent="0.25">
      <c r="B16" s="4" t="s">
        <v>25</v>
      </c>
      <c r="C16" s="4" t="s">
        <v>13</v>
      </c>
      <c r="D16" s="4" t="s">
        <v>26</v>
      </c>
      <c r="E16" s="4">
        <v>500</v>
      </c>
      <c r="F16" s="35"/>
      <c r="G16" s="35"/>
      <c r="H16" s="35"/>
      <c r="I16" s="35"/>
    </row>
    <row r="17" spans="2:9" x14ac:dyDescent="0.25">
      <c r="B17" s="3" t="s">
        <v>17</v>
      </c>
      <c r="C17" s="3"/>
      <c r="D17" s="3"/>
      <c r="E17" s="6">
        <f>SUM(E14:E16)</f>
        <v>120500</v>
      </c>
      <c r="F17" s="3" t="s">
        <v>17</v>
      </c>
      <c r="G17" s="3"/>
      <c r="H17" s="3"/>
      <c r="I17" s="7">
        <f>SUM(I14:I15)</f>
        <v>80000</v>
      </c>
    </row>
  </sheetData>
  <mergeCells count="7">
    <mergeCell ref="F16:I16"/>
    <mergeCell ref="F11:I12"/>
    <mergeCell ref="F4:I5"/>
    <mergeCell ref="F8:I9"/>
    <mergeCell ref="B2:I3"/>
    <mergeCell ref="B4:E5"/>
    <mergeCell ref="B11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BE04-FEE6-4548-88D9-02D71FAF799A}">
  <dimension ref="B2:J29"/>
  <sheetViews>
    <sheetView tabSelected="1" zoomScale="85" zoomScaleNormal="85" workbookViewId="0">
      <selection activeCell="J20" sqref="J20"/>
    </sheetView>
  </sheetViews>
  <sheetFormatPr baseColWidth="10" defaultColWidth="11.42578125" defaultRowHeight="15" x14ac:dyDescent="0.25"/>
  <cols>
    <col min="1" max="1" width="6.7109375" customWidth="1"/>
    <col min="2" max="2" width="14.5703125" customWidth="1"/>
    <col min="8" max="8" width="13.140625" customWidth="1"/>
    <col min="9" max="9" width="33.42578125" customWidth="1"/>
    <col min="10" max="10" width="37.85546875" style="1" customWidth="1"/>
  </cols>
  <sheetData>
    <row r="2" spans="2:10" ht="21" customHeight="1" x14ac:dyDescent="0.25">
      <c r="B2" s="33" t="s">
        <v>27</v>
      </c>
      <c r="C2" s="33"/>
      <c r="D2" s="33"/>
      <c r="E2" s="33"/>
      <c r="F2" s="33"/>
      <c r="G2" s="33"/>
      <c r="H2" s="33"/>
      <c r="I2" s="33"/>
      <c r="J2" s="33"/>
    </row>
    <row r="3" spans="2:10" ht="15" customHeight="1" x14ac:dyDescent="0.25">
      <c r="B3" s="33"/>
      <c r="C3" s="33"/>
      <c r="D3" s="33"/>
      <c r="E3" s="33"/>
      <c r="F3" s="33"/>
      <c r="G3" s="33"/>
      <c r="H3" s="33"/>
      <c r="I3" s="33"/>
      <c r="J3" s="33"/>
    </row>
    <row r="4" spans="2:10" ht="45" x14ac:dyDescent="0.25">
      <c r="B4" s="13" t="s">
        <v>28</v>
      </c>
      <c r="C4" s="13" t="s">
        <v>29</v>
      </c>
      <c r="D4" s="13" t="s">
        <v>30</v>
      </c>
      <c r="E4" s="13" t="s">
        <v>31</v>
      </c>
      <c r="F4" s="13" t="s">
        <v>32</v>
      </c>
      <c r="G4" s="13" t="s">
        <v>33</v>
      </c>
      <c r="H4" s="13" t="s">
        <v>34</v>
      </c>
      <c r="I4" s="34" t="s">
        <v>35</v>
      </c>
      <c r="J4" s="34"/>
    </row>
    <row r="5" spans="2:10" ht="30" x14ac:dyDescent="0.25">
      <c r="B5" s="14" t="s">
        <v>36</v>
      </c>
      <c r="C5" s="15" t="s">
        <v>37</v>
      </c>
      <c r="D5" s="16">
        <v>25</v>
      </c>
      <c r="E5" s="16">
        <v>100</v>
      </c>
      <c r="F5" s="17">
        <v>20000</v>
      </c>
      <c r="G5" s="16">
        <v>4.2</v>
      </c>
      <c r="H5" s="17">
        <f>(F5*G5*(E5-D5)/3600)</f>
        <v>1750</v>
      </c>
      <c r="I5" s="26" t="s">
        <v>38</v>
      </c>
      <c r="J5" s="19" t="s">
        <v>39</v>
      </c>
    </row>
    <row r="6" spans="2:10" ht="30" x14ac:dyDescent="0.25">
      <c r="B6" s="14" t="s">
        <v>10</v>
      </c>
      <c r="C6" s="15" t="s">
        <v>37</v>
      </c>
      <c r="D6" s="16">
        <v>30</v>
      </c>
      <c r="E6" s="16">
        <v>105</v>
      </c>
      <c r="F6" s="17">
        <v>80000</v>
      </c>
      <c r="G6" s="16">
        <v>4</v>
      </c>
      <c r="H6" s="17">
        <f>(F6*G6*(E6-D6)/3600)</f>
        <v>6666.666666666667</v>
      </c>
      <c r="I6" s="26"/>
      <c r="J6" s="19" t="s">
        <v>40</v>
      </c>
    </row>
    <row r="7" spans="2:10" ht="30" x14ac:dyDescent="0.25">
      <c r="B7" s="14" t="s">
        <v>20</v>
      </c>
      <c r="C7" s="18" t="s">
        <v>41</v>
      </c>
      <c r="D7" s="16">
        <v>115</v>
      </c>
      <c r="E7" s="16">
        <v>70</v>
      </c>
      <c r="F7" s="17">
        <v>40000</v>
      </c>
      <c r="G7" s="16">
        <v>4</v>
      </c>
      <c r="H7" s="17">
        <f t="shared" ref="H7" si="0">(F7*G7*(E7-D7)/3600)</f>
        <v>-2000</v>
      </c>
      <c r="I7" s="26" t="s">
        <v>42</v>
      </c>
      <c r="J7" s="19" t="s">
        <v>43</v>
      </c>
    </row>
    <row r="8" spans="2:10" ht="30" x14ac:dyDescent="0.25">
      <c r="B8" s="14" t="s">
        <v>44</v>
      </c>
      <c r="C8" s="18" t="s">
        <v>41</v>
      </c>
      <c r="D8" s="16">
        <v>120</v>
      </c>
      <c r="E8" s="16">
        <v>100</v>
      </c>
      <c r="F8" s="17">
        <v>10000</v>
      </c>
      <c r="G8" s="16">
        <v>2</v>
      </c>
      <c r="H8" s="17">
        <f>(F8*G8*(E8-D8)/3600)</f>
        <v>-111.11111111111111</v>
      </c>
      <c r="I8" s="26"/>
      <c r="J8" s="19" t="s">
        <v>45</v>
      </c>
    </row>
    <row r="11" spans="2:10" ht="75" x14ac:dyDescent="0.25">
      <c r="B11" s="8" t="s">
        <v>46</v>
      </c>
      <c r="C11" s="8" t="s">
        <v>47</v>
      </c>
      <c r="D11" s="8" t="s">
        <v>48</v>
      </c>
      <c r="E11" s="8" t="s">
        <v>49</v>
      </c>
      <c r="F11" s="8" t="s">
        <v>50</v>
      </c>
      <c r="G11" s="8" t="s">
        <v>51</v>
      </c>
      <c r="H11" s="8" t="s">
        <v>52</v>
      </c>
      <c r="I11" s="8" t="s">
        <v>53</v>
      </c>
    </row>
    <row r="12" spans="2:10" x14ac:dyDescent="0.25">
      <c r="B12" s="3" t="s">
        <v>54</v>
      </c>
      <c r="C12" s="3">
        <f>F5*G5</f>
        <v>84000</v>
      </c>
      <c r="D12" s="3">
        <v>0</v>
      </c>
      <c r="E12" s="3">
        <v>5</v>
      </c>
      <c r="F12" s="3">
        <f>(C12-D12)*E12</f>
        <v>420000</v>
      </c>
      <c r="G12" s="3">
        <f>F12</f>
        <v>420000</v>
      </c>
      <c r="H12" s="9">
        <f>F12/3600</f>
        <v>116.66666666666667</v>
      </c>
      <c r="I12" s="11">
        <f>G12/3600</f>
        <v>116.66666666666667</v>
      </c>
    </row>
    <row r="13" spans="2:10" x14ac:dyDescent="0.25">
      <c r="B13" s="3" t="s">
        <v>55</v>
      </c>
      <c r="C13" s="3">
        <f>F6*G6</f>
        <v>320000</v>
      </c>
      <c r="D13" s="3">
        <v>0</v>
      </c>
      <c r="E13" s="3">
        <v>40</v>
      </c>
      <c r="F13" s="3">
        <f t="shared" ref="F13:F17" si="1">(C13-D13)*E13</f>
        <v>12800000</v>
      </c>
      <c r="G13" s="3">
        <f>G12+F13</f>
        <v>13220000</v>
      </c>
      <c r="H13" s="9">
        <f t="shared" ref="H13:H17" si="2">F13/3600</f>
        <v>3555.5555555555557</v>
      </c>
      <c r="I13" s="11">
        <f t="shared" ref="I13:I17" si="3">G13/3600</f>
        <v>3672.2222222222222</v>
      </c>
    </row>
    <row r="14" spans="2:10" x14ac:dyDescent="0.25">
      <c r="B14" s="3" t="s">
        <v>56</v>
      </c>
      <c r="C14" s="3">
        <f>C12+C13</f>
        <v>404000</v>
      </c>
      <c r="D14" s="3">
        <f>F7*G7</f>
        <v>160000</v>
      </c>
      <c r="E14" s="3">
        <v>30</v>
      </c>
      <c r="F14" s="3">
        <f t="shared" si="1"/>
        <v>7320000</v>
      </c>
      <c r="G14" s="3">
        <f t="shared" ref="G14:G17" si="4">G13+F14</f>
        <v>20540000</v>
      </c>
      <c r="H14" s="9">
        <f t="shared" si="2"/>
        <v>2033.3333333333333</v>
      </c>
      <c r="I14" s="11">
        <f t="shared" si="3"/>
        <v>5705.5555555555557</v>
      </c>
    </row>
    <row r="15" spans="2:10" x14ac:dyDescent="0.25">
      <c r="B15" s="3" t="s">
        <v>57</v>
      </c>
      <c r="C15" s="3">
        <f>C13</f>
        <v>320000</v>
      </c>
      <c r="D15" s="3">
        <f>D14+D17</f>
        <v>180000</v>
      </c>
      <c r="E15" s="3">
        <v>5</v>
      </c>
      <c r="F15" s="3">
        <f t="shared" si="1"/>
        <v>700000</v>
      </c>
      <c r="G15" s="3">
        <f t="shared" si="4"/>
        <v>21240000</v>
      </c>
      <c r="H15" s="9">
        <f t="shared" si="2"/>
        <v>194.44444444444446</v>
      </c>
      <c r="I15" s="11">
        <f t="shared" si="3"/>
        <v>5900</v>
      </c>
    </row>
    <row r="16" spans="2:10" x14ac:dyDescent="0.25">
      <c r="B16" s="3" t="s">
        <v>58</v>
      </c>
      <c r="C16" s="3">
        <f>C13</f>
        <v>320000</v>
      </c>
      <c r="D16" s="3">
        <f>D14</f>
        <v>160000</v>
      </c>
      <c r="E16" s="3">
        <v>10</v>
      </c>
      <c r="F16" s="3">
        <f t="shared" si="1"/>
        <v>1600000</v>
      </c>
      <c r="G16" s="3">
        <f t="shared" si="4"/>
        <v>22840000</v>
      </c>
      <c r="H16" s="9">
        <f t="shared" si="2"/>
        <v>444.44444444444446</v>
      </c>
      <c r="I16" s="12">
        <f t="shared" si="3"/>
        <v>6344.4444444444443</v>
      </c>
    </row>
    <row r="17" spans="2:10" x14ac:dyDescent="0.25">
      <c r="B17" s="3" t="s">
        <v>59</v>
      </c>
      <c r="C17" s="3">
        <f t="shared" ref="C17" si="5">F10*G10</f>
        <v>0</v>
      </c>
      <c r="D17" s="3">
        <f>F8*G8</f>
        <v>20000</v>
      </c>
      <c r="E17" s="3">
        <v>5</v>
      </c>
      <c r="F17" s="3">
        <f t="shared" si="1"/>
        <v>-100000</v>
      </c>
      <c r="G17" s="3">
        <f t="shared" si="4"/>
        <v>22740000</v>
      </c>
      <c r="H17" s="10">
        <f t="shared" si="2"/>
        <v>-27.777777777777779</v>
      </c>
      <c r="I17" s="11">
        <f t="shared" si="3"/>
        <v>6316.666666666667</v>
      </c>
    </row>
    <row r="19" spans="2:10" x14ac:dyDescent="0.25">
      <c r="B19" s="31" t="s">
        <v>60</v>
      </c>
      <c r="C19" s="31"/>
      <c r="D19" s="27"/>
      <c r="E19" s="27"/>
      <c r="F19" s="29" t="s">
        <v>61</v>
      </c>
      <c r="G19" s="29"/>
      <c r="H19" s="27"/>
      <c r="I19" s="27"/>
    </row>
    <row r="20" spans="2:10" x14ac:dyDescent="0.25">
      <c r="B20" s="31"/>
      <c r="C20" s="31"/>
      <c r="D20" s="27"/>
      <c r="E20" s="27"/>
      <c r="F20" s="29"/>
      <c r="G20" s="29"/>
      <c r="H20" s="27"/>
      <c r="I20" s="27"/>
    </row>
    <row r="21" spans="2:10" x14ac:dyDescent="0.25">
      <c r="B21" s="32"/>
      <c r="C21" s="32"/>
      <c r="D21" s="28"/>
      <c r="E21" s="28"/>
      <c r="F21" s="30"/>
      <c r="G21" s="30"/>
      <c r="H21" s="28"/>
      <c r="I21" s="28"/>
    </row>
    <row r="22" spans="2:10" x14ac:dyDescent="0.25">
      <c r="B22" s="23" t="s">
        <v>62</v>
      </c>
      <c r="C22" s="23"/>
      <c r="D22" s="23"/>
      <c r="E22" s="23"/>
      <c r="F22" s="23"/>
      <c r="G22" s="23"/>
      <c r="H22" s="23"/>
      <c r="I22" s="23"/>
      <c r="J22" s="23"/>
    </row>
    <row r="23" spans="2:10" x14ac:dyDescent="0.25">
      <c r="B23" s="23"/>
      <c r="C23" s="23"/>
      <c r="D23" s="23"/>
      <c r="E23" s="23"/>
      <c r="F23" s="23"/>
      <c r="G23" s="23"/>
      <c r="H23" s="23"/>
      <c r="I23" s="23"/>
      <c r="J23" s="23"/>
    </row>
    <row r="24" spans="2:10" x14ac:dyDescent="0.25">
      <c r="B24" s="20" t="s">
        <v>63</v>
      </c>
      <c r="C24" s="20"/>
      <c r="D24" s="20"/>
      <c r="E24" s="20"/>
      <c r="F24" s="20"/>
      <c r="G24" s="20" t="s">
        <v>64</v>
      </c>
      <c r="H24" s="20"/>
      <c r="I24" s="21" t="s">
        <v>65</v>
      </c>
      <c r="J24" s="24" t="s">
        <v>66</v>
      </c>
    </row>
    <row r="25" spans="2:10" ht="30" customHeight="1" x14ac:dyDescent="0.25">
      <c r="B25" s="20"/>
      <c r="C25" s="20"/>
      <c r="D25" s="20"/>
      <c r="E25" s="20"/>
      <c r="F25" s="20"/>
      <c r="G25" s="20"/>
      <c r="H25" s="20"/>
      <c r="I25" s="21"/>
      <c r="J25" s="25"/>
    </row>
    <row r="26" spans="2:10" x14ac:dyDescent="0.25">
      <c r="B26" s="20" t="s">
        <v>67</v>
      </c>
      <c r="C26" s="20"/>
      <c r="D26" s="20"/>
      <c r="E26" s="20"/>
      <c r="F26" s="20"/>
      <c r="G26" s="20" t="s">
        <v>68</v>
      </c>
      <c r="H26" s="20"/>
      <c r="I26" s="22" t="s">
        <v>69</v>
      </c>
      <c r="J26" s="24" t="s">
        <v>70</v>
      </c>
    </row>
    <row r="27" spans="2:10" ht="40.5" customHeight="1" x14ac:dyDescent="0.25">
      <c r="B27" s="20"/>
      <c r="C27" s="20"/>
      <c r="D27" s="20"/>
      <c r="E27" s="20"/>
      <c r="F27" s="20"/>
      <c r="G27" s="20"/>
      <c r="H27" s="20"/>
      <c r="I27" s="22"/>
      <c r="J27" s="25"/>
    </row>
    <row r="28" spans="2:10" x14ac:dyDescent="0.25">
      <c r="B28" s="20" t="s">
        <v>71</v>
      </c>
      <c r="C28" s="20"/>
      <c r="D28" s="20"/>
      <c r="E28" s="20"/>
      <c r="F28" s="20"/>
      <c r="G28" s="20" t="s">
        <v>72</v>
      </c>
      <c r="H28" s="20"/>
      <c r="I28" s="22" t="s">
        <v>73</v>
      </c>
      <c r="J28" s="24" t="s">
        <v>74</v>
      </c>
    </row>
    <row r="29" spans="2:10" ht="39" customHeight="1" x14ac:dyDescent="0.25">
      <c r="B29" s="20"/>
      <c r="C29" s="20"/>
      <c r="D29" s="20"/>
      <c r="E29" s="20"/>
      <c r="F29" s="20"/>
      <c r="G29" s="20"/>
      <c r="H29" s="20"/>
      <c r="I29" s="22"/>
      <c r="J29" s="25"/>
    </row>
  </sheetData>
  <mergeCells count="21">
    <mergeCell ref="B2:J3"/>
    <mergeCell ref="I4:J4"/>
    <mergeCell ref="I5:I6"/>
    <mergeCell ref="I7:I8"/>
    <mergeCell ref="H19:I21"/>
    <mergeCell ref="F19:G21"/>
    <mergeCell ref="B19:C21"/>
    <mergeCell ref="D19:E21"/>
    <mergeCell ref="I24:I25"/>
    <mergeCell ref="I26:I27"/>
    <mergeCell ref="I28:I29"/>
    <mergeCell ref="B22:J23"/>
    <mergeCell ref="J24:J25"/>
    <mergeCell ref="J26:J27"/>
    <mergeCell ref="J28:J29"/>
    <mergeCell ref="B24:F25"/>
    <mergeCell ref="B26:F27"/>
    <mergeCell ref="B28:F29"/>
    <mergeCell ref="G24:H25"/>
    <mergeCell ref="G26:H27"/>
    <mergeCell ref="G28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BM</vt:lpstr>
      <vt:lpstr>Energía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karsten garcia</dc:creator>
  <cp:keywords/>
  <dc:description/>
  <cp:lastModifiedBy>karsten garcia</cp:lastModifiedBy>
  <cp:revision/>
  <dcterms:created xsi:type="dcterms:W3CDTF">2026-04-29T19:04:53Z</dcterms:created>
  <dcterms:modified xsi:type="dcterms:W3CDTF">2026-04-30T03:06:29Z</dcterms:modified>
  <cp:category/>
  <cp:contentStatus/>
</cp:coreProperties>
</file>