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FD6A51D-749A-4356-A6D2-1369FAC21FDB}" xr6:coauthVersionLast="47" xr6:coauthVersionMax="47" xr10:uidLastSave="{00000000-0000-0000-0000-000000000000}"/>
  <bookViews>
    <workbookView xWindow="-120" yWindow="-120" windowWidth="20730" windowHeight="11160" xr2:uid="{E23C7746-0B78-4481-AE67-39EAA8D447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1" l="1"/>
  <c r="K29" i="1"/>
  <c r="K30" i="1"/>
  <c r="K31" i="1"/>
  <c r="K32" i="1"/>
  <c r="F22" i="1"/>
  <c r="F21" i="1"/>
  <c r="F20" i="1"/>
  <c r="F19" i="1"/>
  <c r="J11" i="1"/>
  <c r="J10" i="1"/>
  <c r="J9" i="1"/>
  <c r="F12" i="1"/>
  <c r="F11" i="1"/>
  <c r="F10" i="1"/>
  <c r="F9" i="1"/>
  <c r="F8" i="1"/>
</calcChain>
</file>

<file path=xl/sharedStrings.xml><?xml version="1.0" encoding="utf-8"?>
<sst xmlns="http://schemas.openxmlformats.org/spreadsheetml/2006/main" count="67" uniqueCount="63">
  <si>
    <t>Parámetro</t>
  </si>
  <si>
    <t>Valor</t>
  </si>
  <si>
    <t>Nº ladrillos</t>
  </si>
  <si>
    <t>Peso por ladrillo (kg)</t>
  </si>
  <si>
    <t>Humedad inicial (%)</t>
  </si>
  <si>
    <t>Agua añadida (%)</t>
  </si>
  <si>
    <t>Humedad final (%)</t>
  </si>
  <si>
    <t>Pérdida calcinación (%)</t>
  </si>
  <si>
    <t>Mermas (%)</t>
  </si>
  <si>
    <t>Temperatura horno (°C)</t>
  </si>
  <si>
    <t>Temperatura ambiente (°C)</t>
  </si>
  <si>
    <t>Cp (kJ/kg°C)</t>
  </si>
  <si>
    <t>Calor latente (kJ/kg)</t>
  </si>
  <si>
    <t>Eficiencia horno (%)</t>
  </si>
  <si>
    <t>BALANCE DE MATERIA</t>
  </si>
  <si>
    <t>CONCEPTO</t>
  </si>
  <si>
    <t>RESULTADO</t>
  </si>
  <si>
    <t>Masa total (kg)</t>
  </si>
  <si>
    <t>Agua evaporada (kg)</t>
  </si>
  <si>
    <t>Agua final (kg)</t>
  </si>
  <si>
    <t>Pérdida calcinación (kg)</t>
  </si>
  <si>
    <t>Mermas (kg)</t>
  </si>
  <si>
    <t>M=1000×2.3=2300kg</t>
  </si>
  <si>
    <t>Agua=2300×0.12=276kg</t>
  </si>
  <si>
    <t>Aguafinal​=2300×0.04=92kg</t>
  </si>
  <si>
    <t>Calcinación=2300×0.05=115kg</t>
  </si>
  <si>
    <t>Mermas=2300×0.06=138kg</t>
  </si>
  <si>
    <t>BALANCE DE ENERGÍA</t>
  </si>
  <si>
    <t>Energía para calentar (kJ)</t>
  </si>
  <si>
    <t>Energía evaporación (kJ)</t>
  </si>
  <si>
    <t>Energía total (kJ)</t>
  </si>
  <si>
    <t>Q=2300×0.85×(950−25)</t>
  </si>
  <si>
    <t>Q=2300×0.85×925=1,808,875kJ</t>
  </si>
  <si>
    <t>Q=276×2257=622,932kJ</t>
  </si>
  <si>
    <t>Qtotal​=1,808,875+622,932=2,431,807kJ</t>
  </si>
  <si>
    <t>EFICIENCIA TÉRMICA DEL HORNO</t>
  </si>
  <si>
    <t>Energía útil (kJ)</t>
  </si>
  <si>
    <t>Energía suministrada (kJ)</t>
  </si>
  <si>
    <t>Eficiencia (%)</t>
  </si>
  <si>
    <t>Eficiencia del horno</t>
  </si>
  <si>
    <t>kJ</t>
  </si>
  <si>
    <t>¿dónde se va la energía?</t>
  </si>
  <si>
    <t>CONSUMO DE COMBUSTIBLE</t>
  </si>
  <si>
    <t>Poder calorífico (kJ/kg)</t>
  </si>
  <si>
    <t>Combustible</t>
  </si>
  <si>
    <t>Consumo (kg)</t>
  </si>
  <si>
    <t>Carbón</t>
  </si>
  <si>
    <t>Leña</t>
  </si>
  <si>
    <t>Gas natural</t>
  </si>
  <si>
    <t>Neumáticos usados</t>
  </si>
  <si>
    <t>Biomasa (cáscara, bagazo)</t>
  </si>
  <si>
    <r>
      <t xml:space="preserve">Carbón → </t>
    </r>
    <r>
      <rPr>
        <b/>
        <sz val="11"/>
        <color theme="1"/>
        <rFont val="Calibri"/>
        <family val="2"/>
        <scheme val="minor"/>
      </rPr>
      <t>389 kg</t>
    </r>
  </si>
  <si>
    <r>
      <t xml:space="preserve">Leña → </t>
    </r>
    <r>
      <rPr>
        <b/>
        <sz val="11"/>
        <color theme="1"/>
        <rFont val="Calibri"/>
        <family val="2"/>
        <scheme val="minor"/>
      </rPr>
      <t>671 kg</t>
    </r>
  </si>
  <si>
    <r>
      <t xml:space="preserve">Gas natural → </t>
    </r>
    <r>
      <rPr>
        <b/>
        <sz val="11"/>
        <color theme="1"/>
        <rFont val="Calibri"/>
        <family val="2"/>
        <scheme val="minor"/>
      </rPr>
      <t>203 kg</t>
    </r>
  </si>
  <si>
    <r>
      <t xml:space="preserve">Neumáticos → </t>
    </r>
    <r>
      <rPr>
        <b/>
        <sz val="11"/>
        <color theme="1"/>
        <rFont val="Calibri"/>
        <family val="2"/>
        <scheme val="minor"/>
      </rPr>
      <t>304 kg</t>
    </r>
  </si>
  <si>
    <r>
      <t xml:space="preserve">Biomasa → </t>
    </r>
    <r>
      <rPr>
        <b/>
        <sz val="11"/>
        <color theme="1"/>
        <rFont val="Calibri"/>
        <family val="2"/>
        <scheme val="minor"/>
      </rPr>
      <t>648 kg</t>
    </r>
  </si>
  <si>
    <t>Gas natural consume menos masa porque tiene mayor energía.</t>
  </si>
  <si>
    <t>Leña y biomasa necesitan más cantidad → menor eficiencia.</t>
  </si>
  <si>
    <t>Neumáticos tienen buen rendimiento pero ❌ alto impacto ambiental.</t>
  </si>
  <si>
    <t>Carbón es intermedio pero contaminante.</t>
  </si>
  <si>
    <r>
      <t xml:space="preserve">Mejor opción técnica: </t>
    </r>
    <r>
      <rPr>
        <b/>
        <sz val="11"/>
        <color theme="1"/>
        <rFont val="Calibri"/>
        <family val="2"/>
        <scheme val="minor"/>
      </rPr>
      <t>gas natural</t>
    </r>
  </si>
  <si>
    <r>
      <t xml:space="preserve">Mejor opción sostenible: </t>
    </r>
    <r>
      <rPr>
        <b/>
        <sz val="11"/>
        <color theme="1"/>
        <rFont val="Calibri"/>
        <family val="2"/>
        <scheme val="minor"/>
      </rPr>
      <t>biomasa controlada</t>
    </r>
  </si>
  <si>
    <t>INTERPRETACIÓN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</si>
</sst>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9" fontId="0" fillId="0" borderId="0" xfId="0" applyNumberFormat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1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66"/>
      <color rgb="FFFF6699"/>
      <color rgb="FFFF0066"/>
      <color rgb="FFFF9900"/>
      <color rgb="FFFF6600"/>
      <color rgb="FF00CC00"/>
      <color rgb="FF66FFC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Hoja1!$I$9:$I$10</c:f>
              <c:strCache>
                <c:ptCount val="2"/>
                <c:pt idx="0">
                  <c:v>Energía para calentar (kJ)</c:v>
                </c:pt>
                <c:pt idx="1">
                  <c:v>Energía evaporación (kJ)</c:v>
                </c:pt>
              </c:strCache>
            </c:strRef>
          </c:cat>
          <c:val>
            <c:numRef>
              <c:f>Hoja1!$J$9:$J$10</c:f>
              <c:numCache>
                <c:formatCode>General</c:formatCode>
                <c:ptCount val="2"/>
                <c:pt idx="0">
                  <c:v>1808375</c:v>
                </c:pt>
                <c:pt idx="1">
                  <c:v>622932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7-4947-8346-87CFDB5B6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76200</xdr:rowOff>
    </xdr:from>
    <xdr:to>
      <xdr:col>11</xdr:col>
      <xdr:colOff>400050</xdr:colOff>
      <xdr:row>23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85ACBE-796F-47B4-B3E2-0C6199292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3962-FC27-4B96-9AB1-352D714C22FE}">
  <dimension ref="A1:P33"/>
  <sheetViews>
    <sheetView tabSelected="1" topLeftCell="I16" workbookViewId="0">
      <selection activeCell="R32" sqref="R32"/>
    </sheetView>
  </sheetViews>
  <sheetFormatPr baseColWidth="10" defaultRowHeight="15" x14ac:dyDescent="0.25"/>
  <cols>
    <col min="1" max="1" width="27.85546875" customWidth="1"/>
    <col min="5" max="5" width="22.7109375" customWidth="1"/>
    <col min="6" max="6" width="13" customWidth="1"/>
    <col min="7" max="7" width="27.7109375" customWidth="1"/>
    <col min="9" max="9" width="26.5703125" customWidth="1"/>
    <col min="10" max="10" width="21.140625" customWidth="1"/>
    <col min="11" max="11" width="23.42578125" customWidth="1"/>
    <col min="12" max="12" width="27" customWidth="1"/>
  </cols>
  <sheetData>
    <row r="1" spans="1:12" x14ac:dyDescent="0.25">
      <c r="A1" s="1"/>
      <c r="B1" s="1"/>
    </row>
    <row r="2" spans="1:12" x14ac:dyDescent="0.25">
      <c r="A2" s="11" t="s">
        <v>0</v>
      </c>
      <c r="B2" s="13" t="s">
        <v>1</v>
      </c>
    </row>
    <row r="3" spans="1:12" x14ac:dyDescent="0.25">
      <c r="A3" s="12" t="s">
        <v>2</v>
      </c>
      <c r="B3" s="14">
        <v>1000</v>
      </c>
    </row>
    <row r="4" spans="1:12" x14ac:dyDescent="0.25">
      <c r="A4" s="12" t="s">
        <v>3</v>
      </c>
      <c r="B4" s="14">
        <v>2.2999999999999998</v>
      </c>
      <c r="E4" s="2" t="s">
        <v>14</v>
      </c>
      <c r="I4" s="2" t="s">
        <v>27</v>
      </c>
    </row>
    <row r="5" spans="1:12" x14ac:dyDescent="0.25">
      <c r="A5" s="12" t="s">
        <v>4</v>
      </c>
      <c r="B5" s="14">
        <v>0.12</v>
      </c>
    </row>
    <row r="6" spans="1:12" x14ac:dyDescent="0.25">
      <c r="A6" s="12" t="s">
        <v>5</v>
      </c>
      <c r="B6" s="14">
        <v>0.2</v>
      </c>
    </row>
    <row r="7" spans="1:12" x14ac:dyDescent="0.25">
      <c r="A7" s="12" t="s">
        <v>6</v>
      </c>
      <c r="B7" s="14">
        <v>0.04</v>
      </c>
      <c r="E7" s="4" t="s">
        <v>15</v>
      </c>
      <c r="F7" s="5" t="s">
        <v>16</v>
      </c>
    </row>
    <row r="8" spans="1:12" x14ac:dyDescent="0.25">
      <c r="A8" s="12" t="s">
        <v>7</v>
      </c>
      <c r="B8" s="14">
        <v>0.05</v>
      </c>
      <c r="E8" s="3" t="s">
        <v>17</v>
      </c>
      <c r="F8" s="6">
        <f>B3*B4</f>
        <v>2300</v>
      </c>
      <c r="G8" t="s">
        <v>22</v>
      </c>
      <c r="I8" s="7" t="s">
        <v>15</v>
      </c>
      <c r="J8" s="9" t="s">
        <v>16</v>
      </c>
    </row>
    <row r="9" spans="1:12" x14ac:dyDescent="0.25">
      <c r="A9" s="12" t="s">
        <v>8</v>
      </c>
      <c r="B9" s="14">
        <v>0.06</v>
      </c>
      <c r="E9" s="3" t="s">
        <v>18</v>
      </c>
      <c r="F9" s="6">
        <f>F8*B5</f>
        <v>276</v>
      </c>
      <c r="G9" t="s">
        <v>23</v>
      </c>
      <c r="I9" s="8" t="s">
        <v>28</v>
      </c>
      <c r="J9" s="10">
        <f>F8*B12*(B10-B11)</f>
        <v>1808375</v>
      </c>
      <c r="K9" t="s">
        <v>31</v>
      </c>
      <c r="L9" t="s">
        <v>32</v>
      </c>
    </row>
    <row r="10" spans="1:12" x14ac:dyDescent="0.25">
      <c r="A10" s="12" t="s">
        <v>9</v>
      </c>
      <c r="B10" s="14">
        <v>950</v>
      </c>
      <c r="E10" s="3" t="s">
        <v>19</v>
      </c>
      <c r="F10" s="6">
        <f>F8*B7</f>
        <v>92</v>
      </c>
      <c r="G10" t="s">
        <v>24</v>
      </c>
      <c r="I10" s="8" t="s">
        <v>29</v>
      </c>
      <c r="J10" s="10">
        <f>F9*B13</f>
        <v>622932</v>
      </c>
      <c r="K10" t="s">
        <v>33</v>
      </c>
    </row>
    <row r="11" spans="1:12" x14ac:dyDescent="0.25">
      <c r="A11" s="12" t="s">
        <v>10</v>
      </c>
      <c r="B11" s="14">
        <v>25</v>
      </c>
      <c r="E11" s="3" t="s">
        <v>20</v>
      </c>
      <c r="F11" s="6">
        <f>F8*B8</f>
        <v>115</v>
      </c>
      <c r="G11" t="s">
        <v>25</v>
      </c>
      <c r="I11" s="8" t="s">
        <v>30</v>
      </c>
      <c r="J11" s="10">
        <f>J9+J10</f>
        <v>2431307</v>
      </c>
      <c r="K11" t="s">
        <v>34</v>
      </c>
    </row>
    <row r="12" spans="1:12" x14ac:dyDescent="0.25">
      <c r="A12" s="12" t="s">
        <v>11</v>
      </c>
      <c r="B12" s="14">
        <v>0.85</v>
      </c>
      <c r="E12" s="3" t="s">
        <v>21</v>
      </c>
      <c r="F12" s="6">
        <f>F8*B9</f>
        <v>138</v>
      </c>
      <c r="G12" t="s">
        <v>26</v>
      </c>
    </row>
    <row r="13" spans="1:12" x14ac:dyDescent="0.25">
      <c r="A13" s="12" t="s">
        <v>12</v>
      </c>
      <c r="B13" s="14">
        <v>2257</v>
      </c>
      <c r="J13" t="s">
        <v>41</v>
      </c>
    </row>
    <row r="14" spans="1:12" x14ac:dyDescent="0.25">
      <c r="A14" s="12" t="s">
        <v>13</v>
      </c>
      <c r="B14" s="14">
        <v>0.25</v>
      </c>
    </row>
    <row r="15" spans="1:12" x14ac:dyDescent="0.25">
      <c r="E15" s="2" t="s">
        <v>35</v>
      </c>
    </row>
    <row r="18" spans="5:16" x14ac:dyDescent="0.25">
      <c r="E18" s="16" t="s">
        <v>15</v>
      </c>
      <c r="F18" s="18" t="s">
        <v>16</v>
      </c>
    </row>
    <row r="19" spans="5:16" x14ac:dyDescent="0.25">
      <c r="E19" s="17" t="s">
        <v>36</v>
      </c>
      <c r="F19" s="19">
        <f>J11</f>
        <v>2431307</v>
      </c>
    </row>
    <row r="20" spans="5:16" x14ac:dyDescent="0.25">
      <c r="E20" s="17" t="s">
        <v>39</v>
      </c>
      <c r="F20" s="19">
        <f>B14</f>
        <v>0.25</v>
      </c>
    </row>
    <row r="21" spans="5:16" x14ac:dyDescent="0.25">
      <c r="E21" s="17" t="s">
        <v>37</v>
      </c>
      <c r="F21" s="19">
        <f>F19/F20</f>
        <v>9725228</v>
      </c>
      <c r="G21" t="s">
        <v>40</v>
      </c>
    </row>
    <row r="22" spans="5:16" x14ac:dyDescent="0.25">
      <c r="E22" s="17" t="s">
        <v>38</v>
      </c>
      <c r="F22" s="19">
        <f>F19/F21</f>
        <v>0.25</v>
      </c>
      <c r="G22" s="15">
        <v>0.25</v>
      </c>
    </row>
    <row r="25" spans="5:16" x14ac:dyDescent="0.25">
      <c r="I25" s="2" t="s">
        <v>42</v>
      </c>
    </row>
    <row r="27" spans="5:16" x14ac:dyDescent="0.25">
      <c r="I27" s="3" t="s">
        <v>44</v>
      </c>
      <c r="J27" s="20" t="s">
        <v>43</v>
      </c>
      <c r="K27" s="11" t="s">
        <v>45</v>
      </c>
      <c r="M27" s="2" t="s">
        <v>62</v>
      </c>
    </row>
    <row r="28" spans="5:16" x14ac:dyDescent="0.25">
      <c r="I28" s="4" t="s">
        <v>46</v>
      </c>
      <c r="J28" s="21">
        <v>25000</v>
      </c>
      <c r="K28" s="12">
        <f>9727228/25000</f>
        <v>389.08911999999998</v>
      </c>
      <c r="L28" t="s">
        <v>51</v>
      </c>
      <c r="M28" t="s">
        <v>56</v>
      </c>
    </row>
    <row r="29" spans="5:16" x14ac:dyDescent="0.25">
      <c r="I29" s="4" t="s">
        <v>47</v>
      </c>
      <c r="J29" s="21">
        <v>14500</v>
      </c>
      <c r="K29" s="12">
        <f>9727228/14500</f>
        <v>670.84331034482761</v>
      </c>
      <c r="L29" t="s">
        <v>52</v>
      </c>
      <c r="M29" t="s">
        <v>57</v>
      </c>
    </row>
    <row r="30" spans="5:16" x14ac:dyDescent="0.25">
      <c r="I30" s="4" t="s">
        <v>48</v>
      </c>
      <c r="J30" s="21">
        <v>48000</v>
      </c>
      <c r="K30" s="12">
        <f>9727228/48000</f>
        <v>202.65058333333334</v>
      </c>
      <c r="L30" t="s">
        <v>53</v>
      </c>
      <c r="M30" t="s">
        <v>58</v>
      </c>
    </row>
    <row r="31" spans="5:16" x14ac:dyDescent="0.25">
      <c r="I31" s="4" t="s">
        <v>49</v>
      </c>
      <c r="J31" s="21">
        <v>32000</v>
      </c>
      <c r="K31" s="12">
        <f>9727228/32000</f>
        <v>303.97587499999997</v>
      </c>
      <c r="L31" t="s">
        <v>54</v>
      </c>
      <c r="M31" t="s">
        <v>59</v>
      </c>
    </row>
    <row r="32" spans="5:16" x14ac:dyDescent="0.25">
      <c r="I32" s="4" t="s">
        <v>50</v>
      </c>
      <c r="J32" s="21">
        <v>15000</v>
      </c>
      <c r="K32" s="12">
        <f>9727228/15000</f>
        <v>648.48186666666663</v>
      </c>
      <c r="L32" t="s">
        <v>55</v>
      </c>
      <c r="M32" s="22" t="s">
        <v>60</v>
      </c>
      <c r="N32" s="22"/>
      <c r="O32" s="22"/>
      <c r="P32" s="22"/>
    </row>
    <row r="33" spans="13:16" x14ac:dyDescent="0.25">
      <c r="M33" s="22" t="s">
        <v>61</v>
      </c>
      <c r="N33" s="22"/>
      <c r="O33" s="22"/>
      <c r="P33" s="2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2026-04-27T14:47:11Z</dcterms:created>
  <dcterms:modified xsi:type="dcterms:W3CDTF">2026-04-27T15:39:25Z</dcterms:modified>
</cp:coreProperties>
</file>